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Uni laptop\Chemie\Poly\Emulsionspoly\"/>
    </mc:Choice>
  </mc:AlternateContent>
  <xr:revisionPtr revIDLastSave="0" documentId="13_ncr:1_{001A5569-66FA-4F9A-B371-FF34C4BB71DD}" xr6:coauthVersionLast="47" xr6:coauthVersionMax="47" xr10:uidLastSave="{00000000-0000-0000-0000-000000000000}"/>
  <bookViews>
    <workbookView xWindow="14295" yWindow="0" windowWidth="14610" windowHeight="16305" activeTab="1" xr2:uid="{25867DC9-E48D-4029-A39F-4AFAE13D5DF5}"/>
  </bookViews>
  <sheets>
    <sheet name="Diagramm1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G7" i="1"/>
  <c r="G8" i="1"/>
  <c r="G9" i="1"/>
  <c r="G10" i="1"/>
  <c r="G11" i="1"/>
  <c r="G12" i="1"/>
  <c r="G13" i="1"/>
  <c r="G14" i="1"/>
  <c r="G15" i="1"/>
  <c r="G16" i="1"/>
  <c r="G17" i="1"/>
  <c r="G18" i="1"/>
  <c r="G6" i="1"/>
  <c r="E7" i="1"/>
  <c r="E8" i="1"/>
  <c r="E9" i="1"/>
  <c r="E10" i="1"/>
  <c r="E11" i="1"/>
  <c r="E12" i="1"/>
  <c r="E13" i="1"/>
  <c r="E14" i="1"/>
  <c r="E15" i="1"/>
  <c r="E16" i="1"/>
  <c r="E17" i="1"/>
  <c r="E18" i="1"/>
  <c r="E6" i="1"/>
</calcChain>
</file>

<file path=xl/sharedStrings.xml><?xml version="1.0" encoding="utf-8"?>
<sst xmlns="http://schemas.openxmlformats.org/spreadsheetml/2006/main" count="45" uniqueCount="33">
  <si>
    <t>Nr.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</si>
  <si>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</si>
  <si>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</si>
  <si>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</si>
  <si>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</si>
  <si>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</si>
  <si>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</si>
  <si>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</si>
  <si>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</si>
  <si>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</si>
  <si>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</si>
  <si>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</si>
  <si>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</si>
  <si>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</si>
  <si>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Nr</t>
  </si>
  <si>
    <t>t[min]</t>
  </si>
  <si>
    <t>m1 Schälchen [g]</t>
  </si>
  <si>
    <t>m2 Schälchen und Dispersion vor trocknen [g]</t>
  </si>
  <si>
    <t>m2-m1[g]</t>
  </si>
  <si>
    <t>m3 schälchen und Dispersion nach trocknen[g]</t>
  </si>
  <si>
    <t>m3-m1 [g]</t>
  </si>
  <si>
    <t>m(M0)</t>
  </si>
  <si>
    <t>m(E0)</t>
  </si>
  <si>
    <t>m(ges)</t>
  </si>
  <si>
    <t>m(Probe)</t>
  </si>
  <si>
    <t>m2</t>
  </si>
  <si>
    <t>Umsatz [%]</t>
  </si>
  <si>
    <t>v_Br in %/min</t>
  </si>
  <si>
    <t>0.0002</t>
  </si>
  <si>
    <t>0.0004</t>
  </si>
  <si>
    <t>0.0003</t>
  </si>
  <si>
    <t>0.0005</t>
  </si>
  <si>
    <t>0.0008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</si>
</sst>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Tabelle1!$H$6:$H$18</c:f>
              <c:numCache>
                <c:formatCode>General</c:formatCode>
                <c:ptCount val="13"/>
                <c:pt idx="0">
                  <c:v>12.591445141555806</c:v>
                </c:pt>
                <c:pt idx="1">
                  <c:v>8.896776349716303</c:v>
                </c:pt>
                <c:pt idx="2">
                  <c:v>10.322046755262841</c:v>
                </c:pt>
                <c:pt idx="3">
                  <c:v>9.1264786676926644</c:v>
                </c:pt>
                <c:pt idx="4">
                  <c:v>10.219787339302359</c:v>
                </c:pt>
                <c:pt idx="5">
                  <c:v>9.2196284352253333</c:v>
                </c:pt>
                <c:pt idx="6">
                  <c:v>8.3784245408557272</c:v>
                </c:pt>
                <c:pt idx="7">
                  <c:v>8.8048281521715275</c:v>
                </c:pt>
                <c:pt idx="8">
                  <c:v>9.9860245870663498</c:v>
                </c:pt>
                <c:pt idx="9">
                  <c:v>10.179079664857662</c:v>
                </c:pt>
                <c:pt idx="10">
                  <c:v>11.815573269687656</c:v>
                </c:pt>
                <c:pt idx="11">
                  <c:v>19.664162430051352</c:v>
                </c:pt>
                <c:pt idx="12">
                  <c:v>59.994024776179877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0-4D77-AF8C-1EA3923E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916447"/>
        <c:axId val="580915487"/>
      </c:barChart>
      <c:catAx>
        <c:axId val="580916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0915487"/>
        <c:crosses val="autoZero"/>
        <c:auto val="1"/>
        <c:lblAlgn val="ctr"/>
        <c:lblOffset val="100"/>
        <c:noMultiLvlLbl val="0"/>
      </c:catAx>
      <c:valAx>
        <c:axId val="5809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09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Umsatz-Zeit-Diagramm</a:t>
            </a:r>
          </a:p>
        </c:rich>
      </c:tx>
      <c:layout>
        <c:manualLayout>
          <c:xMode val="edge"/>
          <c:yMode val="edge"/>
          <c:x val="0.39065311372906608"/>
          <c:y val="2.405588921789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Tabelle1!$H$5</c:f>
              <c:strCache>
                <c:ptCount val="1"/>
                <c:pt idx="0">
                  <c:v>Umsatz [%]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Tabelle1!$A$6:$A$18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90</c:v>
                </c:pt>
                <c:pt idx="10">
                  <c:v>120</c:v>
                </c:pt>
                <c:pt idx="11">
                  <c:v>150</c:v>
                </c:pt>
                <c:pt idx="12">
                  <c:v>180</c:v>
                </c:pt>
              </c:numCache>
            </c:numRef>
          </c:cat>
          <c:val>
            <c:numRef>
              <c:f>Tabelle1!$H$6:$H$18</c:f>
              <c:numCache>
                <c:formatCode>General</c:formatCode>
                <c:ptCount val="13"/>
                <c:pt idx="0">
                  <c:v>12.591445141555806</c:v>
                </c:pt>
                <c:pt idx="1">
                  <c:v>8.896776349716303</c:v>
                </c:pt>
                <c:pt idx="2">
                  <c:v>10.322046755262841</c:v>
                </c:pt>
                <c:pt idx="3">
                  <c:v>9.1264786676926644</c:v>
                </c:pt>
                <c:pt idx="4">
                  <c:v>10.219787339302359</c:v>
                </c:pt>
                <c:pt idx="5">
                  <c:v>9.2196284352253333</c:v>
                </c:pt>
                <c:pt idx="6">
                  <c:v>8.3784245408557272</c:v>
                </c:pt>
                <c:pt idx="7">
                  <c:v>8.8048281521715275</c:v>
                </c:pt>
                <c:pt idx="8">
                  <c:v>9.9860245870663498</c:v>
                </c:pt>
                <c:pt idx="9">
                  <c:v>10.179079664857662</c:v>
                </c:pt>
                <c:pt idx="10">
                  <c:v>11.815573269687656</c:v>
                </c:pt>
                <c:pt idx="11">
                  <c:v>19.664162430051352</c:v>
                </c:pt>
                <c:pt idx="12">
                  <c:v>59.994024776179877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D-481C-BE0E-7154FA85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230751"/>
        <c:axId val="596232671"/>
      </c:lineChart>
      <c:catAx>
        <c:axId val="5962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 i="0" baseline="0"/>
                  <a:t>Reaktionsdauer in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6232671"/>
        <c:crosses val="autoZero"/>
        <c:auto val="1"/>
        <c:lblAlgn val="ctr"/>
        <c:lblOffset val="100"/>
        <c:noMultiLvlLbl val="0"/>
      </c:catAx>
      <c:valAx>
        <c:axId val="5962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1" i="0" strike="noStrike" baseline="0"/>
                  <a:t>Umsatz in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9623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1BE5A8-2A8E-4E09-9CAE-ED316870FAEF}">
  <sheetPr/>
  <sheetViews>
    <sheetView zoomScale="12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774" cy="6017381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2E803C0-694F-3F45-C43F-E9B2E82D2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2291601</xdr:colOff>
      <xdr:row>20</xdr:row>
      <xdr:rowOff>34738</xdr:rowOff>
    </xdr:from>
    <xdr:to>
      <xdr:col>13</xdr:col>
      <xdr:colOff>190500</xdr:colOff>
      <xdr:row>42</xdr:row>
      <xdr:rowOff>67236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F65730F6-BBE1-BCF6-E6FD-C7C013224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9AC3-9FE7-4AA8-A0FE-D894170F352D}">
  <dimension ref="A1:M18"/>
  <sheetViews>
    <sheetView tabSelected="1" topLeftCell="F1" zoomScaleNormal="100" workbookViewId="0">
      <selection activeCell="I13" sqref="I13"/>
    </sheetView>
  </sheetViews>
  <sheetFormatPr baseColWidth="10" defaultRowHeight="15" x14ac:dyDescent="0.25"/>
  <cols>
    <col min="1" max="1" width="6.140625" bestFit="1" customWidth="1"/>
    <col min="2" max="2" width="4" bestFit="1" customWidth="1"/>
    <col min="3" max="3" width="15.85546875" bestFit="1" customWidth="1"/>
    <col min="4" max="4" width="41.85546875" bestFit="1" customWidth="1"/>
    <col min="5" max="5" width="9.28515625" bestFit="1" customWidth="1"/>
    <col min="6" max="6" width="43.140625" bestFit="1" customWidth="1"/>
    <col min="7" max="7" width="9.7109375" bestFit="1" customWidth="1"/>
    <col min="8" max="8" width="12" bestFit="1" customWidth="1"/>
    <col min="9" max="9" width="35.140625" customWidth="1"/>
    <col min="10" max="10" width="6.7109375" bestFit="1" customWidth="1"/>
    <col min="11" max="11" width="6.140625" bestFit="1" customWidth="1"/>
    <col min="12" max="12" width="7.140625" bestFit="1" customWidth="1"/>
    <col min="13" max="13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3" x14ac:dyDescent="0.25">
      <c r="A5" t="s">
        <v>15</v>
      </c>
      <c r="B5" t="s">
        <v>14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26</v>
      </c>
      <c r="I5" t="s">
        <v>27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25">
      <c r="A6">
        <v>2</v>
      </c>
      <c r="B6" t="s">
        <v>1</v>
      </c>
      <c r="C6">
        <v>10.827</v>
      </c>
      <c r="D6">
        <v>13.9534</v>
      </c>
      <c r="E6">
        <f>D6-C6</f>
        <v>3.1264000000000003</v>
      </c>
      <c r="F6">
        <v>10.911</v>
      </c>
      <c r="G6">
        <f>F6-C6</f>
        <v>8.3999999999999631E-2</v>
      </c>
      <c r="H6">
        <f>(G6*$L$6*100)/($J$6*(1+($K$6/$J$6))*E6)</f>
        <v>12.591445141555806</v>
      </c>
      <c r="I6" t="s">
        <v>28</v>
      </c>
      <c r="J6">
        <v>11.83</v>
      </c>
      <c r="K6">
        <v>1.2</v>
      </c>
      <c r="L6">
        <v>61.064</v>
      </c>
      <c r="M6" t="s">
        <v>25</v>
      </c>
    </row>
    <row r="7" spans="1:13" x14ac:dyDescent="0.25">
      <c r="A7">
        <v>4</v>
      </c>
      <c r="B7" t="s">
        <v>2</v>
      </c>
      <c r="C7">
        <v>10.777799999999999</v>
      </c>
      <c r="D7">
        <v>13.7803</v>
      </c>
      <c r="E7">
        <f t="shared" ref="E7:E18" si="0">D7-C7</f>
        <v>3.0025000000000013</v>
      </c>
      <c r="F7">
        <v>10.8348</v>
      </c>
      <c r="G7">
        <f t="shared" ref="G7:G18" si="1">F7-C7</f>
        <v>5.7000000000000384E-2</v>
      </c>
      <c r="H7">
        <f t="shared" ref="H7:H18" si="2">(G7*$L$6*100)/($J$6*(1+($K$6/$J$6))*E7)</f>
        <v>8.896776349716303</v>
      </c>
      <c r="I7" t="s">
        <v>28</v>
      </c>
    </row>
    <row r="8" spans="1:13" x14ac:dyDescent="0.25">
      <c r="A8">
        <v>6</v>
      </c>
      <c r="B8" t="s">
        <v>3</v>
      </c>
      <c r="C8">
        <v>10.8299</v>
      </c>
      <c r="D8">
        <v>14.003500000000001</v>
      </c>
      <c r="E8">
        <f t="shared" si="0"/>
        <v>3.1736000000000004</v>
      </c>
      <c r="F8">
        <v>10.899800000000001</v>
      </c>
      <c r="G8">
        <f t="shared" si="1"/>
        <v>6.9900000000000517E-2</v>
      </c>
      <c r="H8">
        <f t="shared" si="2"/>
        <v>10.322046755262841</v>
      </c>
      <c r="I8" t="s">
        <v>28</v>
      </c>
    </row>
    <row r="9" spans="1:13" x14ac:dyDescent="0.25">
      <c r="A9">
        <v>10</v>
      </c>
      <c r="B9" t="s">
        <v>4</v>
      </c>
      <c r="C9">
        <v>10.8514</v>
      </c>
      <c r="D9">
        <v>13.891299999999999</v>
      </c>
      <c r="E9">
        <f t="shared" si="0"/>
        <v>3.0398999999999994</v>
      </c>
      <c r="F9">
        <v>10.910600000000001</v>
      </c>
      <c r="G9">
        <f t="shared" si="1"/>
        <v>5.9200000000000585E-2</v>
      </c>
      <c r="H9">
        <f t="shared" si="2"/>
        <v>9.1264786676926644</v>
      </c>
      <c r="I9" t="s">
        <v>30</v>
      </c>
    </row>
    <row r="10" spans="1:13" x14ac:dyDescent="0.25">
      <c r="A10">
        <v>15</v>
      </c>
      <c r="B10" t="s">
        <v>5</v>
      </c>
      <c r="C10">
        <v>10.7545</v>
      </c>
      <c r="D10">
        <v>13.8498</v>
      </c>
      <c r="E10">
        <f t="shared" si="0"/>
        <v>3.0952999999999999</v>
      </c>
      <c r="F10">
        <v>10.821999999999999</v>
      </c>
      <c r="G10">
        <f t="shared" si="1"/>
        <v>6.7499999999999005E-2</v>
      </c>
      <c r="H10">
        <f t="shared" si="2"/>
        <v>10.219787339302359</v>
      </c>
      <c r="I10" t="s">
        <v>29</v>
      </c>
    </row>
    <row r="11" spans="1:13" x14ac:dyDescent="0.25">
      <c r="A11">
        <v>20</v>
      </c>
      <c r="B11" t="s">
        <v>6</v>
      </c>
      <c r="C11">
        <v>10.848000000000001</v>
      </c>
      <c r="D11">
        <v>13.582700000000001</v>
      </c>
      <c r="E11">
        <f t="shared" si="0"/>
        <v>2.7347000000000001</v>
      </c>
      <c r="F11">
        <v>10.9018</v>
      </c>
      <c r="G11">
        <f t="shared" si="1"/>
        <v>5.379999999999896E-2</v>
      </c>
      <c r="H11">
        <f t="shared" si="2"/>
        <v>9.2196284352253333</v>
      </c>
      <c r="I11" t="s">
        <v>31</v>
      </c>
    </row>
    <row r="12" spans="1:13" x14ac:dyDescent="0.25">
      <c r="A12">
        <v>30</v>
      </c>
      <c r="B12" t="s">
        <v>7</v>
      </c>
      <c r="C12">
        <v>10.8566</v>
      </c>
      <c r="D12">
        <v>13.837899999999999</v>
      </c>
      <c r="E12">
        <f t="shared" si="0"/>
        <v>2.9812999999999992</v>
      </c>
      <c r="F12">
        <v>10.9099</v>
      </c>
      <c r="G12">
        <f t="shared" si="1"/>
        <v>5.3300000000000125E-2</v>
      </c>
      <c r="H12">
        <f t="shared" si="2"/>
        <v>8.3784245408557272</v>
      </c>
      <c r="I12" t="s">
        <v>32</v>
      </c>
    </row>
    <row r="13" spans="1:13" x14ac:dyDescent="0.25">
      <c r="A13">
        <v>45</v>
      </c>
      <c r="B13" t="s">
        <v>8</v>
      </c>
      <c r="C13">
        <v>10.853</v>
      </c>
      <c r="D13">
        <v>13.897500000000001</v>
      </c>
      <c r="E13">
        <f t="shared" si="0"/>
        <v>3.0445000000000011</v>
      </c>
      <c r="F13">
        <v>10.9102</v>
      </c>
      <c r="G13">
        <f t="shared" si="1"/>
        <v>5.7199999999999918E-2</v>
      </c>
      <c r="H13">
        <f t="shared" si="2"/>
        <v>8.8048281521715275</v>
      </c>
    </row>
    <row r="14" spans="1:13" x14ac:dyDescent="0.25">
      <c r="A14">
        <v>60</v>
      </c>
      <c r="B14" t="s">
        <v>9</v>
      </c>
      <c r="C14">
        <v>10.789899999999999</v>
      </c>
      <c r="D14">
        <v>13.929500000000001</v>
      </c>
      <c r="E14">
        <f t="shared" si="0"/>
        <v>3.1396000000000015</v>
      </c>
      <c r="F14">
        <v>10.8568</v>
      </c>
      <c r="G14">
        <f t="shared" si="1"/>
        <v>6.6900000000000404E-2</v>
      </c>
      <c r="H14">
        <f t="shared" si="2"/>
        <v>9.9860245870663498</v>
      </c>
    </row>
    <row r="15" spans="1:13" x14ac:dyDescent="0.25">
      <c r="A15">
        <v>90</v>
      </c>
      <c r="B15" t="s">
        <v>10</v>
      </c>
      <c r="C15">
        <v>10.7232</v>
      </c>
      <c r="D15">
        <v>13.623699999999999</v>
      </c>
      <c r="E15">
        <f t="shared" si="0"/>
        <v>2.9004999999999992</v>
      </c>
      <c r="F15">
        <v>10.786199999999999</v>
      </c>
      <c r="G15">
        <f t="shared" si="1"/>
        <v>6.2999999999998835E-2</v>
      </c>
      <c r="H15">
        <f t="shared" si="2"/>
        <v>10.179079664857662</v>
      </c>
    </row>
    <row r="16" spans="1:13" x14ac:dyDescent="0.25">
      <c r="A16">
        <v>120</v>
      </c>
      <c r="B16" t="s">
        <v>11</v>
      </c>
      <c r="C16">
        <v>10.8127</v>
      </c>
      <c r="D16">
        <v>13.7319</v>
      </c>
      <c r="E16">
        <f t="shared" si="0"/>
        <v>2.9192</v>
      </c>
      <c r="F16">
        <v>10.8863</v>
      </c>
      <c r="G16">
        <f t="shared" si="1"/>
        <v>7.3600000000000776E-2</v>
      </c>
      <c r="H16">
        <f t="shared" si="2"/>
        <v>11.815573269687656</v>
      </c>
    </row>
    <row r="17" spans="1:8" x14ac:dyDescent="0.25">
      <c r="A17">
        <v>150</v>
      </c>
      <c r="B17" t="s">
        <v>12</v>
      </c>
      <c r="C17">
        <v>10.8992</v>
      </c>
      <c r="D17">
        <v>13.882999999999999</v>
      </c>
      <c r="E17">
        <f t="shared" si="0"/>
        <v>2.9837999999999987</v>
      </c>
      <c r="F17">
        <v>11.0244</v>
      </c>
      <c r="G17">
        <f t="shared" si="1"/>
        <v>0.12519999999999953</v>
      </c>
      <c r="H17">
        <f t="shared" si="2"/>
        <v>19.664162430051352</v>
      </c>
    </row>
    <row r="18" spans="1:8" x14ac:dyDescent="0.25">
      <c r="A18">
        <v>180</v>
      </c>
      <c r="B18" t="s">
        <v>13</v>
      </c>
      <c r="C18">
        <v>10.9689</v>
      </c>
      <c r="D18">
        <v>14.006</v>
      </c>
      <c r="E18">
        <f t="shared" si="0"/>
        <v>3.0371000000000006</v>
      </c>
      <c r="F18">
        <v>11.357699999999999</v>
      </c>
      <c r="G18">
        <f t="shared" si="1"/>
        <v>0.38879999999999981</v>
      </c>
      <c r="H18">
        <f t="shared" si="2"/>
        <v>59.994024776179877</v>
      </c>
    </row>
  </sheetData>
  <phoneticPr fontId="1" type="noConversion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Tabelle1</vt:lpstr>
      <vt:lpstr>Diagramm1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Viehoff</dc:creator>
  <cp:lastModifiedBy>Laurens Viehoff</cp:lastModifiedBy>
  <dcterms:created xsi:type="dcterms:W3CDTF">2026-03-11T08:54:22Z</dcterms:created>
  <dcterms:modified xsi:type="dcterms:W3CDTF">2026-04-03T19:47:12Z</dcterms:modified>
</cp:coreProperties>
</file>