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aure\Documents\Uni\Chemie\Semester 5\PolyLab\Poly\Emulsionspoly\"/>
    </mc:Choice>
  </mc:AlternateContent>
  <xr:revisionPtr revIDLastSave="0" documentId="13_ncr:1_{F892218A-4A22-4932-8467-499C689744F7}" xr6:coauthVersionLast="47" xr6:coauthVersionMax="47" xr10:uidLastSave="{00000000-0000-0000-0000-000000000000}"/>
  <bookViews>
    <workbookView xWindow="-108" yWindow="-108" windowWidth="23256" windowHeight="14616" xr2:uid="{25867DC9-E48D-4029-A39F-4AFAE13D5DF5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" i="1" l="1"/>
  <c r="H9" i="1"/>
  <c r="H10" i="1"/>
  <c r="H12" i="1"/>
  <c r="H18" i="1"/>
  <c r="G7" i="1"/>
  <c r="G8" i="1"/>
  <c r="G9" i="1"/>
  <c r="G10" i="1"/>
  <c r="G11" i="1"/>
  <c r="G12" i="1"/>
  <c r="G13" i="1"/>
  <c r="G14" i="1"/>
  <c r="G15" i="1"/>
  <c r="G16" i="1"/>
  <c r="G17" i="1"/>
  <c r="G18" i="1"/>
  <c r="G6" i="1"/>
  <c r="E7" i="1"/>
  <c r="H7" i="1" s="1"/>
  <c r="E8" i="1"/>
  <c r="E9" i="1"/>
  <c r="E10" i="1"/>
  <c r="E11" i="1"/>
  <c r="H11" i="1" s="1"/>
  <c r="E12" i="1"/>
  <c r="E13" i="1"/>
  <c r="H13" i="1" s="1"/>
  <c r="E14" i="1"/>
  <c r="H14" i="1" s="1"/>
  <c r="E15" i="1"/>
  <c r="H15" i="1" s="1"/>
  <c r="E16" i="1"/>
  <c r="H16" i="1" s="1"/>
  <c r="E17" i="1"/>
  <c r="H17" i="1" s="1"/>
  <c r="E18" i="1"/>
  <c r="E6" i="1"/>
  <c r="H6" i="1" s="1"/>
</calcChain>
</file>

<file path=xl/sharedStrings.xml><?xml version="1.0" encoding="utf-8"?>
<sst xmlns="http://schemas.openxmlformats.org/spreadsheetml/2006/main" count="37" uniqueCount="27">
  <si>
    <t>Nr.</t>
  </si>
  <si>
    <t>E1</t>
  </si>
  <si>
    <t>E2</t>
  </si>
  <si>
    <t>E3</t>
  </si>
  <si>
    <t>E4</t>
  </si>
  <si>
    <t>E5</t>
  </si>
  <si>
    <t>E6</t>
  </si>
  <si>
    <t>E7</t>
  </si>
  <si>
    <t>E8</t>
  </si>
  <si>
    <t>E9</t>
  </si>
  <si>
    <t>E10</t>
  </si>
  <si>
    <t>E11</t>
  </si>
  <si>
    <t>E12</t>
  </si>
  <si>
    <t>E13</t>
  </si>
  <si>
    <t>Nr</t>
  </si>
  <si>
    <t>t[min]</t>
  </si>
  <si>
    <t>m1 Schälchen [g]</t>
  </si>
  <si>
    <t>m2 Schälchen und Dispersion vor trocknen [g]</t>
  </si>
  <si>
    <t>m2-m1[g]</t>
  </si>
  <si>
    <t>m3 schälchen und Dispersion nach trocknen[g]</t>
  </si>
  <si>
    <t>m3-m1 [g]</t>
  </si>
  <si>
    <t>m(M0)</t>
  </si>
  <si>
    <t>m(E0)</t>
  </si>
  <si>
    <t>m(ges)</t>
  </si>
  <si>
    <t>m(Probe)</t>
  </si>
  <si>
    <t>m2</t>
  </si>
  <si>
    <t>Umsatz [%]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</si>
</sst>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99AC3-9FE7-4AA8-A0FE-D894170F352D}">
  <dimension ref="A1:M18"/>
  <sheetViews>
    <sheetView tabSelected="1" workbookViewId="0">
      <selection activeCell="D19" sqref="D19"/>
    </sheetView>
  </sheetViews>
  <sheetFormatPr baseColWidth="10" defaultRowHeight="14.4" x14ac:dyDescent="0.3"/>
  <cols>
    <col min="2" max="2" width="12.33203125" bestFit="1" customWidth="1"/>
    <col min="3" max="3" width="14.6640625" bestFit="1" customWidth="1"/>
    <col min="4" max="4" width="37.6640625" bestFit="1" customWidth="1"/>
    <col min="5" max="5" width="8.77734375" bestFit="1" customWidth="1"/>
    <col min="6" max="6" width="38.77734375" bestFit="1" customWidth="1"/>
    <col min="7" max="7" width="9.109375" bestFit="1" customWidth="1"/>
    <col min="8" max="8" width="10" bestFit="1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5" spans="1:13" x14ac:dyDescent="0.3">
      <c r="A5" t="s">
        <v>15</v>
      </c>
      <c r="B5" t="s">
        <v>14</v>
      </c>
      <c r="C5" t="s">
        <v>16</v>
      </c>
      <c r="D5" t="s">
        <v>17</v>
      </c>
      <c r="E5" t="s">
        <v>18</v>
      </c>
      <c r="F5" t="s">
        <v>19</v>
      </c>
      <c r="G5" t="s">
        <v>20</v>
      </c>
      <c r="H5" t="s">
        <v>26</v>
      </c>
      <c r="J5" t="s">
        <v>21</v>
      </c>
      <c r="K5" t="s">
        <v>22</v>
      </c>
      <c r="L5" t="s">
        <v>23</v>
      </c>
      <c r="M5" t="s">
        <v>24</v>
      </c>
    </row>
    <row r="6" spans="1:13" x14ac:dyDescent="0.3">
      <c r="A6">
        <v>2</v>
      </c>
      <c r="B6" t="s">
        <v>1</v>
      </c>
      <c r="C6">
        <v>10.827</v>
      </c>
      <c r="D6">
        <v>13.9534</v>
      </c>
      <c r="E6">
        <f>D6-C6</f>
        <v>3.1264000000000003</v>
      </c>
      <c r="G6">
        <f>F6-C6</f>
        <v>-10.827</v>
      </c>
      <c r="H6">
        <f>(G6*$L$6*100)/($J$6*(1+$K$6/$J$6)*E6)</f>
        <v>-1622.9473398526825</v>
      </c>
      <c r="J6">
        <v>11.83</v>
      </c>
      <c r="K6">
        <v>1.2</v>
      </c>
      <c r="L6">
        <v>61.064</v>
      </c>
      <c r="M6" t="s">
        <v>25</v>
      </c>
    </row>
    <row r="7" spans="1:13" x14ac:dyDescent="0.3">
      <c r="A7">
        <v>4</v>
      </c>
      <c r="B7" t="s">
        <v>2</v>
      </c>
      <c r="C7">
        <v>10.777799999999999</v>
      </c>
      <c r="D7">
        <v>13.7803</v>
      </c>
      <c r="E7">
        <f t="shared" ref="E7:E18" si="0">D7-C7</f>
        <v>3.0025000000000013</v>
      </c>
      <c r="G7">
        <f t="shared" ref="G7:G18" si="1">F7-C7</f>
        <v>-10.777799999999999</v>
      </c>
      <c r="H7">
        <f>(G7*$L$6*100)/($J$6*(1+$K$6/$J$6)*E7)</f>
        <v>-1682.2399323152929</v>
      </c>
    </row>
    <row r="8" spans="1:13" x14ac:dyDescent="0.3">
      <c r="A8">
        <v>6</v>
      </c>
      <c r="B8" t="s">
        <v>3</v>
      </c>
      <c r="C8">
        <v>10.8299</v>
      </c>
      <c r="D8">
        <v>14.003500000000001</v>
      </c>
      <c r="E8">
        <f t="shared" si="0"/>
        <v>3.1736000000000004</v>
      </c>
      <c r="G8">
        <f t="shared" si="1"/>
        <v>-10.8299</v>
      </c>
      <c r="H8">
        <f t="shared" ref="H7:H18" si="2">(G8*$L$6*100)/($J$6*(1+$K$6/$J$6)*E8)</f>
        <v>-1599.2379707413481</v>
      </c>
    </row>
    <row r="9" spans="1:13" x14ac:dyDescent="0.3">
      <c r="A9">
        <v>10</v>
      </c>
      <c r="B9" t="s">
        <v>4</v>
      </c>
      <c r="C9">
        <v>10.8514</v>
      </c>
      <c r="D9">
        <v>13.891299999999999</v>
      </c>
      <c r="E9">
        <f t="shared" si="0"/>
        <v>3.0398999999999994</v>
      </c>
      <c r="G9">
        <f t="shared" si="1"/>
        <v>-10.8514</v>
      </c>
      <c r="H9">
        <f t="shared" si="2"/>
        <v>-1672.8897063276893</v>
      </c>
    </row>
    <row r="10" spans="1:13" x14ac:dyDescent="0.3">
      <c r="A10">
        <v>15</v>
      </c>
      <c r="B10" t="s">
        <v>5</v>
      </c>
      <c r="C10">
        <v>10.7545</v>
      </c>
      <c r="D10">
        <v>13.8498</v>
      </c>
      <c r="E10">
        <f t="shared" si="0"/>
        <v>3.0952999999999999</v>
      </c>
      <c r="G10">
        <f t="shared" si="1"/>
        <v>-10.7545</v>
      </c>
      <c r="H10">
        <f t="shared" si="2"/>
        <v>-1628.2770806004271</v>
      </c>
    </row>
    <row r="11" spans="1:13" x14ac:dyDescent="0.3">
      <c r="A11">
        <v>20</v>
      </c>
      <c r="B11" t="s">
        <v>6</v>
      </c>
      <c r="C11">
        <v>10.848000000000001</v>
      </c>
      <c r="D11">
        <v>13.582700000000001</v>
      </c>
      <c r="E11">
        <f t="shared" si="0"/>
        <v>2.7347000000000001</v>
      </c>
      <c r="G11">
        <f t="shared" si="1"/>
        <v>-10.848000000000001</v>
      </c>
      <c r="H11">
        <f t="shared" si="2"/>
        <v>-1859.0061201733522</v>
      </c>
    </row>
    <row r="12" spans="1:13" x14ac:dyDescent="0.3">
      <c r="A12">
        <v>30</v>
      </c>
      <c r="B12" t="s">
        <v>7</v>
      </c>
      <c r="C12">
        <v>10.8566</v>
      </c>
      <c r="D12">
        <v>13.837899999999999</v>
      </c>
      <c r="E12">
        <f t="shared" si="0"/>
        <v>2.9812999999999992</v>
      </c>
      <c r="G12">
        <f t="shared" si="1"/>
        <v>-10.8566</v>
      </c>
      <c r="H12">
        <f t="shared" si="2"/>
        <v>-1706.5891908115211</v>
      </c>
    </row>
    <row r="13" spans="1:13" x14ac:dyDescent="0.3">
      <c r="A13">
        <v>45</v>
      </c>
      <c r="B13" t="s">
        <v>8</v>
      </c>
      <c r="C13">
        <v>10.853</v>
      </c>
      <c r="D13">
        <v>13.897500000000001</v>
      </c>
      <c r="E13">
        <f t="shared" si="0"/>
        <v>3.0445000000000011</v>
      </c>
      <c r="G13">
        <f t="shared" si="1"/>
        <v>-10.853</v>
      </c>
      <c r="H13">
        <f t="shared" si="2"/>
        <v>-1670.6083904810791</v>
      </c>
    </row>
    <row r="14" spans="1:13" x14ac:dyDescent="0.3">
      <c r="A14">
        <v>60</v>
      </c>
      <c r="B14" t="s">
        <v>9</v>
      </c>
      <c r="C14">
        <v>10.789899999999999</v>
      </c>
      <c r="D14">
        <v>13.929500000000001</v>
      </c>
      <c r="E14">
        <f t="shared" si="0"/>
        <v>3.1396000000000015</v>
      </c>
      <c r="G14">
        <f t="shared" si="1"/>
        <v>-10.789899999999999</v>
      </c>
      <c r="H14">
        <f t="shared" si="2"/>
        <v>-1610.5860492075719</v>
      </c>
    </row>
    <row r="15" spans="1:13" x14ac:dyDescent="0.3">
      <c r="A15">
        <v>90</v>
      </c>
      <c r="B15" t="s">
        <v>10</v>
      </c>
      <c r="C15">
        <v>10.7232</v>
      </c>
      <c r="D15">
        <v>13.623699999999999</v>
      </c>
      <c r="E15">
        <f t="shared" si="0"/>
        <v>2.9004999999999992</v>
      </c>
      <c r="G15">
        <f t="shared" si="1"/>
        <v>-10.7232</v>
      </c>
      <c r="H15">
        <f t="shared" si="2"/>
        <v>-1732.5763025746621</v>
      </c>
    </row>
    <row r="16" spans="1:13" x14ac:dyDescent="0.3">
      <c r="A16">
        <v>120</v>
      </c>
      <c r="B16" t="s">
        <v>11</v>
      </c>
      <c r="C16">
        <v>10.8127</v>
      </c>
      <c r="D16">
        <v>13.7319</v>
      </c>
      <c r="E16">
        <f t="shared" si="0"/>
        <v>2.9192</v>
      </c>
      <c r="G16">
        <f t="shared" si="1"/>
        <v>-10.8127</v>
      </c>
      <c r="H16">
        <f t="shared" si="2"/>
        <v>-1735.8457757221515</v>
      </c>
    </row>
    <row r="17" spans="1:8" x14ac:dyDescent="0.3">
      <c r="A17">
        <v>150</v>
      </c>
      <c r="B17" t="s">
        <v>12</v>
      </c>
      <c r="C17">
        <v>10.8992</v>
      </c>
      <c r="D17">
        <v>13.882999999999999</v>
      </c>
      <c r="E17">
        <f t="shared" si="0"/>
        <v>2.9837999999999987</v>
      </c>
      <c r="G17">
        <f t="shared" si="1"/>
        <v>-10.8992</v>
      </c>
      <c r="H17">
        <f t="shared" si="2"/>
        <v>-1711.8501530161063</v>
      </c>
    </row>
    <row r="18" spans="1:8" x14ac:dyDescent="0.3">
      <c r="A18">
        <v>180</v>
      </c>
      <c r="B18" t="s">
        <v>13</v>
      </c>
      <c r="C18">
        <v>10.9689</v>
      </c>
      <c r="D18">
        <v>14.006</v>
      </c>
      <c r="E18">
        <f t="shared" si="0"/>
        <v>3.0371000000000006</v>
      </c>
      <c r="G18">
        <f t="shared" si="1"/>
        <v>-10.9689</v>
      </c>
      <c r="H18">
        <f t="shared" si="2"/>
        <v>-1692.5629073236619</v>
      </c>
    </row>
  </sheetData>
  <phoneticPr fontId="1" type="noConversion"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Laurens Viehoff</dc:creator>
  <cp:lastModifiedBy>Laurens Viehoff</cp:lastModifiedBy>
  <dcterms:created xsi:type="dcterms:W3CDTF">2026-03-11T08:54:22Z</dcterms:created>
  <dcterms:modified xsi:type="dcterms:W3CDTF">2026-03-12T14:15:50Z</dcterms:modified>
</cp:coreProperties>
</file>