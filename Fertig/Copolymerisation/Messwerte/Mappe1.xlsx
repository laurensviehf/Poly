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kumente\Uni laptop\Chemie\Poly\Copolymerisation\Messwerte\"/>
    </mc:Choice>
  </mc:AlternateContent>
  <xr:revisionPtr revIDLastSave="0" documentId="13_ncr:1_{104757D6-45DB-4F5B-892F-9AED20CFE87C}" xr6:coauthVersionLast="47" xr6:coauthVersionMax="47" xr10:uidLastSave="{00000000-0000-0000-0000-000000000000}"/>
  <bookViews>
    <workbookView xWindow="11805" yWindow="1980" windowWidth="15765" windowHeight="12015" xr2:uid="{EC9A12D4-FC17-4DF3-91C2-7490D74CCC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3" i="1"/>
  <c r="H4" i="1"/>
  <c r="H5" i="1"/>
  <c r="H3" i="1"/>
  <c r="B20" i="1"/>
  <c r="C3" i="1"/>
  <c r="C4" i="1"/>
  <c r="C5" i="1"/>
  <c r="F4" i="1"/>
  <c r="F5" i="1"/>
  <c r="F3" i="1"/>
  <c r="E4" i="1"/>
  <c r="E5" i="1"/>
  <c r="E3" i="1"/>
  <c r="G4" i="1"/>
  <c r="G5" i="1"/>
  <c r="G3" i="1"/>
</calcChain>
</file>

<file path=xl/sharedStrings.xml><?xml version="1.0" encoding="utf-8"?>
<sst xmlns="http://schemas.openxmlformats.org/spreadsheetml/2006/main" count="10" uniqueCount="10">
  <si>
    <t>Probe</t>
  </si>
  <si>
    <t>[I] in mol/L</t>
  </si>
  <si>
    <t>m_ps in g</t>
  </si>
  <si>
    <t>m_st in g</t>
  </si>
  <si>
    <t>n_st  in mol</t>
  </si>
  <si>
    <t xml:space="preserve">U in % </t>
  </si>
  <si>
    <t>Initiator einwage in mg</t>
  </si>
  <si>
    <t>Delta M</t>
  </si>
  <si>
    <t>n_St Anfang</t>
  </si>
  <si>
    <t>v_Br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</si>
</sst>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289F-E3E9-4E4D-BE1F-9BBD6364599B}">
  <dimension ref="A2:I20"/>
  <sheetViews>
    <sheetView tabSelected="1" workbookViewId="0">
      <selection activeCell="I6" sqref="I6"/>
    </sheetView>
  </sheetViews>
  <sheetFormatPr baseColWidth="10" defaultRowHeight="15" x14ac:dyDescent="0.25"/>
  <cols>
    <col min="2" max="2" width="21.28515625" bestFit="1" customWidth="1"/>
    <col min="3" max="3" width="12" bestFit="1" customWidth="1"/>
    <col min="9" max="9" width="12" bestFit="1" customWidth="1"/>
  </cols>
  <sheetData>
    <row r="2" spans="1:9" x14ac:dyDescent="0.25">
      <c r="A2" t="s">
        <v>0</v>
      </c>
      <c r="B2" t="s">
        <v>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7</v>
      </c>
      <c r="I2" t="s">
        <v>9</v>
      </c>
    </row>
    <row r="3" spans="1:9" x14ac:dyDescent="0.25">
      <c r="A3">
        <v>1</v>
      </c>
      <c r="B3" s="1">
        <v>2.6</v>
      </c>
      <c r="C3">
        <f t="shared" ref="C3:C4" si="0">((B3*0.001)/164.21)/0.01</f>
        <v>1.5833384081359234E-3</v>
      </c>
      <c r="D3">
        <v>0.32</v>
      </c>
      <c r="E3">
        <f xml:space="preserve"> 9.1*(1-G3)</f>
        <v>8.7799999999999994</v>
      </c>
      <c r="F3">
        <f>E3/104.15</f>
        <v>8.4301488238118089E-2</v>
      </c>
      <c r="G3">
        <f>(D3/9.1)*100%</f>
        <v>3.5164835164835165E-2</v>
      </c>
      <c r="H3">
        <f>($B$20-F3)/0.01</f>
        <v>0.30724915986557882</v>
      </c>
      <c r="I3">
        <f>H3/7200</f>
        <v>4.2673494425774834E-5</v>
      </c>
    </row>
    <row r="4" spans="1:9" x14ac:dyDescent="0.25">
      <c r="A4">
        <v>2</v>
      </c>
      <c r="B4" s="1">
        <v>10.1</v>
      </c>
      <c r="C4">
        <f t="shared" si="0"/>
        <v>6.1506607392972402E-3</v>
      </c>
      <c r="D4">
        <v>0.63</v>
      </c>
      <c r="E4">
        <f t="shared" ref="E4:E5" si="1" xml:space="preserve"> 9.1*(1-G4)</f>
        <v>8.4700000000000006</v>
      </c>
      <c r="F4">
        <f t="shared" ref="F4:F5" si="2">E4/104.15</f>
        <v>8.1325012001920313E-2</v>
      </c>
      <c r="G4">
        <f t="shared" ref="G4:G5" si="3">(D4/9.1)*100%</f>
        <v>6.9230769230769235E-2</v>
      </c>
      <c r="H4">
        <f t="shared" ref="H4:H5" si="4">($B$20-F4)/0.01</f>
        <v>0.60489678348535636</v>
      </c>
      <c r="I4">
        <f t="shared" ref="I4:I5" si="5">H4/7200</f>
        <v>8.4013442150743939E-5</v>
      </c>
    </row>
    <row r="5" spans="1:9" x14ac:dyDescent="0.25">
      <c r="A5">
        <v>3</v>
      </c>
      <c r="B5" s="1">
        <v>24.6</v>
      </c>
      <c r="C5">
        <f>((B5*0.001)/164.21)/0.01</f>
        <v>1.4980817246209121E-2</v>
      </c>
      <c r="D5">
        <v>0.93</v>
      </c>
      <c r="E5">
        <f t="shared" si="1"/>
        <v>8.17</v>
      </c>
      <c r="F5">
        <f t="shared" si="2"/>
        <v>7.8444551128180509E-2</v>
      </c>
      <c r="G5">
        <f t="shared" si="3"/>
        <v>0.10219780219780221</v>
      </c>
      <c r="H5">
        <f t="shared" si="4"/>
        <v>0.89294287085933677</v>
      </c>
      <c r="I5">
        <f t="shared" si="5"/>
        <v>1.2401984317490788E-4</v>
      </c>
    </row>
    <row r="19" spans="2:2" x14ac:dyDescent="0.25">
      <c r="B19" t="s">
        <v>8</v>
      </c>
    </row>
    <row r="20" spans="2:2" x14ac:dyDescent="0.25">
      <c r="B20">
        <f>9.1/104.15</f>
        <v>8.7373979836773877E-2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 Viehoff</dc:creator>
  <cp:lastModifiedBy>Laurens Viehoff</cp:lastModifiedBy>
  <dcterms:created xsi:type="dcterms:W3CDTF">2026-04-05T16:20:05Z</dcterms:created>
  <dcterms:modified xsi:type="dcterms:W3CDTF">2026-04-05T19:49:43Z</dcterms:modified>
</cp:coreProperties>
</file>