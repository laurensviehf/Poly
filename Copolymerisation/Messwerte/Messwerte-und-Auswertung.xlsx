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kumente\Uni laptop\Chemie\Poly\Copolymerisation\Messwerte\"/>
    </mc:Choice>
  </mc:AlternateContent>
  <xr:revisionPtr revIDLastSave="0" documentId="13_ncr:1_{8CDA452A-142C-40BD-B872-0855A03F53B7}" xr6:coauthVersionLast="47" xr6:coauthVersionMax="47" xr10:uidLastSave="{00000000-0000-0000-0000-000000000000}"/>
  <bookViews>
    <workbookView xWindow="9015" yWindow="1050" windowWidth="18720" windowHeight="14325" xr2:uid="{EC9A12D4-FC17-4DF3-91C2-7490D74CCC1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42" i="1"/>
  <c r="C43" i="1"/>
  <c r="C44" i="1"/>
  <c r="C40" i="1"/>
  <c r="B41" i="1"/>
  <c r="B42" i="1"/>
  <c r="B43" i="1"/>
  <c r="B44" i="1"/>
  <c r="B40" i="1"/>
  <c r="G21" i="1"/>
  <c r="L13" i="1"/>
  <c r="K13" i="1"/>
  <c r="J14" i="1"/>
  <c r="I13" i="1"/>
  <c r="C33" i="1"/>
  <c r="C34" i="1"/>
  <c r="C35" i="1"/>
  <c r="C36" i="1"/>
  <c r="C32" i="1"/>
  <c r="B33" i="1"/>
  <c r="B32" i="1"/>
  <c r="B34" i="1"/>
  <c r="B35" i="1"/>
  <c r="B36" i="1"/>
  <c r="I17" i="1"/>
  <c r="I16" i="1"/>
  <c r="I15" i="1"/>
  <c r="I14" i="1"/>
  <c r="G22" i="1"/>
  <c r="G23" i="1"/>
  <c r="G24" i="1"/>
  <c r="G25" i="1"/>
  <c r="L17" i="1"/>
  <c r="L16" i="1"/>
  <c r="L15" i="1"/>
  <c r="L14" i="1"/>
  <c r="K14" i="1"/>
  <c r="K15" i="1"/>
  <c r="K16" i="1"/>
  <c r="K17" i="1"/>
  <c r="J15" i="1"/>
  <c r="J16" i="1"/>
  <c r="J17" i="1"/>
  <c r="J13" i="1"/>
  <c r="F17" i="1"/>
  <c r="F16" i="1"/>
  <c r="F15" i="1"/>
  <c r="F14" i="1"/>
  <c r="F13" i="1"/>
  <c r="E17" i="1"/>
  <c r="E16" i="1"/>
  <c r="E15" i="1"/>
  <c r="E14" i="1"/>
  <c r="E13" i="1"/>
  <c r="B20" i="1"/>
  <c r="F3" i="1"/>
  <c r="F4" i="1"/>
  <c r="F5" i="1"/>
  <c r="H3" i="1"/>
  <c r="I3" i="1" s="1"/>
  <c r="K3" i="1" s="1"/>
  <c r="L3" i="1" s="1"/>
  <c r="J4" i="1"/>
  <c r="H4" i="1" s="1"/>
  <c r="I4" i="1" s="1"/>
  <c r="K4" i="1" s="1"/>
  <c r="L4" i="1" s="1"/>
  <c r="J5" i="1"/>
  <c r="H5" i="1" s="1"/>
  <c r="I5" i="1" s="1"/>
  <c r="K5" i="1" s="1"/>
  <c r="L5" i="1" s="1"/>
  <c r="J3" i="1"/>
</calcChain>
</file>

<file path=xl/sharedStrings.xml><?xml version="1.0" encoding="utf-8"?>
<sst xmlns="http://schemas.openxmlformats.org/spreadsheetml/2006/main" count="31" uniqueCount="26">
  <si>
    <t>Probe</t>
  </si>
  <si>
    <t>[I] in mol/L</t>
  </si>
  <si>
    <t>m_ps in g</t>
  </si>
  <si>
    <t>m_st in g</t>
  </si>
  <si>
    <t>n_st  in mol</t>
  </si>
  <si>
    <t xml:space="preserve">U in % </t>
  </si>
  <si>
    <t>Initiator einwage in mg</t>
  </si>
  <si>
    <t>Delta M</t>
  </si>
  <si>
    <t>n_St Anfang</t>
  </si>
  <si>
    <t>v_Br</t>
  </si>
  <si>
    <t>I_St</t>
  </si>
  <si>
    <t>I_MMA</t>
  </si>
  <si>
    <t>m_St</t>
  </si>
  <si>
    <t>m_MMA</t>
  </si>
  <si>
    <t>m_AIBN</t>
  </si>
  <si>
    <t>n_St</t>
  </si>
  <si>
    <t>n_MMA</t>
  </si>
  <si>
    <t>M_St</t>
  </si>
  <si>
    <t>M_MMA</t>
  </si>
  <si>
    <t>M_AIBN</t>
  </si>
  <si>
    <t>n_St/n_MMA</t>
  </si>
  <si>
    <t>m_St/m_MMA</t>
  </si>
  <si>
    <t>(m_St/m_MMA)*((n_MMA)^2/(n_St)^2</t>
  </si>
  <si>
    <t>n_MMA/n_St *(m_St/m_MMA -1)</t>
  </si>
  <si>
    <t xml:space="preserve">n_St / n_MMA * (1 - 1/(m_St/m_MMA)) </t>
  </si>
  <si>
    <t>n_St^2/n_MMA^2 * 1/(m_St/m_MMA)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</si>
</sst>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289F-E3E9-4E4D-BE1F-9BBD6364599B}">
  <dimension ref="B2:L44"/>
  <sheetViews>
    <sheetView tabSelected="1" topLeftCell="A10" zoomScale="85" zoomScaleNormal="85" workbookViewId="0">
      <selection activeCell="B40" sqref="B40"/>
    </sheetView>
  </sheetViews>
  <sheetFormatPr baseColWidth="10" defaultRowHeight="15" x14ac:dyDescent="0.25"/>
  <cols>
    <col min="1" max="1" width="6.140625" bestFit="1" customWidth="1"/>
    <col min="2" max="2" width="34.140625" bestFit="1" customWidth="1"/>
    <col min="3" max="3" width="33.140625" bestFit="1" customWidth="1"/>
    <col min="4" max="4" width="9.28515625" bestFit="1" customWidth="1"/>
    <col min="5" max="5" width="8.7109375" bestFit="1" customWidth="1"/>
    <col min="6" max="6" width="12" bestFit="1" customWidth="1"/>
    <col min="7" max="7" width="12.7109375" bestFit="1" customWidth="1"/>
    <col min="8" max="8" width="12" bestFit="1" customWidth="1"/>
    <col min="9" max="9" width="12.7109375" bestFit="1" customWidth="1"/>
    <col min="10" max="12" width="12" bestFit="1" customWidth="1"/>
  </cols>
  <sheetData>
    <row r="2" spans="4:12" x14ac:dyDescent="0.25">
      <c r="D2" t="s">
        <v>0</v>
      </c>
      <c r="E2" t="s">
        <v>6</v>
      </c>
      <c r="F2" t="s">
        <v>1</v>
      </c>
      <c r="G2" t="s">
        <v>2</v>
      </c>
      <c r="H2" t="s">
        <v>3</v>
      </c>
      <c r="I2" t="s">
        <v>4</v>
      </c>
      <c r="J2" t="s">
        <v>5</v>
      </c>
      <c r="K2" t="s">
        <v>7</v>
      </c>
      <c r="L2" t="s">
        <v>9</v>
      </c>
    </row>
    <row r="3" spans="4:12" x14ac:dyDescent="0.25">
      <c r="D3">
        <v>1</v>
      </c>
      <c r="E3" s="1">
        <v>2.6</v>
      </c>
      <c r="F3">
        <f t="shared" ref="F3:F4" si="0">((E3*0.001)/164.21)/0.01</f>
        <v>1.5833384081359234E-3</v>
      </c>
      <c r="G3">
        <v>0.32</v>
      </c>
      <c r="H3">
        <f xml:space="preserve"> 9.1*(1-J3)</f>
        <v>8.7799999999999994</v>
      </c>
      <c r="I3">
        <f>H3/104.15</f>
        <v>8.4301488238118089E-2</v>
      </c>
      <c r="J3">
        <f>(G3/9.1)*100%</f>
        <v>3.5164835164835165E-2</v>
      </c>
      <c r="K3">
        <f>($B$20-I3)/0.01</f>
        <v>0.30724915986557882</v>
      </c>
      <c r="L3">
        <f>K3/7200</f>
        <v>4.2673494425774834E-5</v>
      </c>
    </row>
    <row r="4" spans="4:12" x14ac:dyDescent="0.25">
      <c r="D4">
        <v>2</v>
      </c>
      <c r="E4" s="1">
        <v>10.1</v>
      </c>
      <c r="F4">
        <f t="shared" si="0"/>
        <v>6.1506607392972402E-3</v>
      </c>
      <c r="G4">
        <v>0.63</v>
      </c>
      <c r="H4">
        <f t="shared" ref="H4:H5" si="1" xml:space="preserve"> 9.1*(1-J4)</f>
        <v>8.4700000000000006</v>
      </c>
      <c r="I4">
        <f t="shared" ref="I4:I5" si="2">H4/104.15</f>
        <v>8.1325012001920313E-2</v>
      </c>
      <c r="J4">
        <f t="shared" ref="J4:J5" si="3">(G4/9.1)*100%</f>
        <v>6.9230769230769235E-2</v>
      </c>
      <c r="K4">
        <f t="shared" ref="K4:K5" si="4">($B$20-I4)/0.01</f>
        <v>0.60489678348535636</v>
      </c>
      <c r="L4">
        <f t="shared" ref="L4:L5" si="5">K4/7200</f>
        <v>8.4013442150743939E-5</v>
      </c>
    </row>
    <row r="5" spans="4:12" x14ac:dyDescent="0.25">
      <c r="D5">
        <v>3</v>
      </c>
      <c r="E5" s="1">
        <v>24.6</v>
      </c>
      <c r="F5">
        <f>((E5*0.001)/164.21)/0.01</f>
        <v>1.4980817246209121E-2</v>
      </c>
      <c r="G5">
        <v>0.93</v>
      </c>
      <c r="H5">
        <f t="shared" si="1"/>
        <v>8.17</v>
      </c>
      <c r="I5">
        <f t="shared" si="2"/>
        <v>7.8444551128180509E-2</v>
      </c>
      <c r="J5">
        <f t="shared" si="3"/>
        <v>0.10219780219780221</v>
      </c>
      <c r="K5">
        <f t="shared" si="4"/>
        <v>0.89294287085933677</v>
      </c>
      <c r="L5">
        <f t="shared" si="5"/>
        <v>1.2401984317490788E-4</v>
      </c>
    </row>
    <row r="12" spans="4:12" x14ac:dyDescent="0.25">
      <c r="D12" t="s">
        <v>0</v>
      </c>
      <c r="E12" t="s">
        <v>12</v>
      </c>
      <c r="F12" t="s">
        <v>13</v>
      </c>
      <c r="G12" t="s">
        <v>10</v>
      </c>
      <c r="H12" t="s">
        <v>11</v>
      </c>
      <c r="I12" t="s">
        <v>21</v>
      </c>
      <c r="J12" t="s">
        <v>15</v>
      </c>
      <c r="K12" t="s">
        <v>16</v>
      </c>
      <c r="L12" t="s">
        <v>20</v>
      </c>
    </row>
    <row r="13" spans="4:12" x14ac:dyDescent="0.25">
      <c r="D13">
        <v>1</v>
      </c>
      <c r="E13">
        <f>0.9*2</f>
        <v>1.8</v>
      </c>
      <c r="F13">
        <f>0.94*10</f>
        <v>9.3999999999999986</v>
      </c>
      <c r="G13">
        <v>1</v>
      </c>
      <c r="H13">
        <v>2.57</v>
      </c>
      <c r="I13">
        <f>(G13/H13)*($B$24/$B$26)*(3/5)</f>
        <v>0.24285789292232665</v>
      </c>
      <c r="J13">
        <f>E13/$B$24</f>
        <v>1.728276524243879E-2</v>
      </c>
      <c r="K13">
        <f>F13/$B$26</f>
        <v>9.3886397459074511E-2</v>
      </c>
      <c r="L13">
        <f>J13/K13</f>
        <v>0.18408167434449088</v>
      </c>
    </row>
    <row r="14" spans="4:12" x14ac:dyDescent="0.25">
      <c r="D14">
        <v>2</v>
      </c>
      <c r="E14">
        <f>0.9*4</f>
        <v>3.6</v>
      </c>
      <c r="F14">
        <f>0.94*8</f>
        <v>7.52</v>
      </c>
      <c r="G14">
        <v>1</v>
      </c>
      <c r="H14">
        <v>0.96</v>
      </c>
      <c r="I14">
        <f t="shared" ref="I14:I17" si="6">(G14/H14)*($B$24/$B$26)*(3/5)</f>
        <v>0.65015081751081194</v>
      </c>
      <c r="J14">
        <f>E14/$B$24</f>
        <v>3.456553048487758E-2</v>
      </c>
      <c r="K14">
        <f>F14/$B$26</f>
        <v>7.5109117967259609E-2</v>
      </c>
      <c r="L14">
        <f t="shared" ref="L14:L17" si="7">J14/K14</f>
        <v>0.46020418586122719</v>
      </c>
    </row>
    <row r="15" spans="4:12" x14ac:dyDescent="0.25">
      <c r="D15">
        <v>3</v>
      </c>
      <c r="E15">
        <f>0.9*6</f>
        <v>5.4</v>
      </c>
      <c r="F15">
        <f>0.94*6</f>
        <v>5.64</v>
      </c>
      <c r="G15">
        <v>1</v>
      </c>
      <c r="H15">
        <v>0.42</v>
      </c>
      <c r="I15">
        <f t="shared" si="6"/>
        <v>1.4860590114532846</v>
      </c>
      <c r="J15">
        <f>E15/$B$24</f>
        <v>5.1848295727316369E-2</v>
      </c>
      <c r="K15">
        <f>F15/$B$26</f>
        <v>5.6331838475444714E-2</v>
      </c>
      <c r="L15">
        <f t="shared" si="7"/>
        <v>0.92040837172245427</v>
      </c>
    </row>
    <row r="16" spans="4:12" x14ac:dyDescent="0.25">
      <c r="D16">
        <v>4</v>
      </c>
      <c r="E16">
        <f>0.9*8</f>
        <v>7.2</v>
      </c>
      <c r="F16">
        <f>0.94*4</f>
        <v>3.76</v>
      </c>
      <c r="G16">
        <v>1</v>
      </c>
      <c r="H16">
        <v>0.28000000000000003</v>
      </c>
      <c r="I16">
        <f t="shared" si="6"/>
        <v>2.2290885171799264</v>
      </c>
      <c r="J16">
        <f>E16/$B$24</f>
        <v>6.9131060969755159E-2</v>
      </c>
      <c r="K16">
        <f>F16/$B$26</f>
        <v>3.7554558983629804E-2</v>
      </c>
      <c r="L16">
        <f t="shared" si="7"/>
        <v>1.8408167434449088</v>
      </c>
    </row>
    <row r="17" spans="2:12" x14ac:dyDescent="0.25">
      <c r="D17">
        <v>5</v>
      </c>
      <c r="E17">
        <f>0.9*10</f>
        <v>9</v>
      </c>
      <c r="F17">
        <f>0.94*2</f>
        <v>1.88</v>
      </c>
      <c r="G17">
        <v>1</v>
      </c>
      <c r="H17">
        <v>0.15</v>
      </c>
      <c r="I17">
        <f t="shared" si="6"/>
        <v>4.1609652320691968</v>
      </c>
      <c r="J17">
        <f>E17/$B$24</f>
        <v>8.6413826212193942E-2</v>
      </c>
      <c r="K17">
        <f>F17/$B$26</f>
        <v>1.8777279491814902E-2</v>
      </c>
      <c r="L17">
        <f t="shared" si="7"/>
        <v>4.6020418586122718</v>
      </c>
    </row>
    <row r="19" spans="2:12" x14ac:dyDescent="0.25">
      <c r="B19" t="s">
        <v>8</v>
      </c>
    </row>
    <row r="20" spans="2:12" x14ac:dyDescent="0.25">
      <c r="B20">
        <f>9.1/104.15</f>
        <v>8.7373979836773877E-2</v>
      </c>
      <c r="D20" t="s">
        <v>0</v>
      </c>
      <c r="E20" t="s">
        <v>10</v>
      </c>
      <c r="F20" t="s">
        <v>11</v>
      </c>
      <c r="G20" t="s">
        <v>21</v>
      </c>
      <c r="H20" t="s">
        <v>14</v>
      </c>
    </row>
    <row r="21" spans="2:12" x14ac:dyDescent="0.25">
      <c r="D21">
        <v>1</v>
      </c>
      <c r="E21">
        <v>1</v>
      </c>
      <c r="F21">
        <v>2.57</v>
      </c>
      <c r="G21">
        <f>(E21/F21)*($B$24/$B$26)*(3/5)</f>
        <v>0.24285789292232665</v>
      </c>
      <c r="H21">
        <v>8.7499999999999994E-2</v>
      </c>
    </row>
    <row r="22" spans="2:12" x14ac:dyDescent="0.25">
      <c r="D22">
        <v>2</v>
      </c>
      <c r="E22">
        <v>1</v>
      </c>
      <c r="F22">
        <v>0.96</v>
      </c>
      <c r="G22">
        <f t="shared" ref="G22:G25" si="8">(E22/F22)*($B$24/$B$26)*(3/5)</f>
        <v>0.65015081751081194</v>
      </c>
      <c r="H22">
        <v>8.77E-2</v>
      </c>
    </row>
    <row r="23" spans="2:12" x14ac:dyDescent="0.25">
      <c r="B23" t="s">
        <v>17</v>
      </c>
      <c r="D23">
        <v>3</v>
      </c>
      <c r="E23">
        <v>1</v>
      </c>
      <c r="F23">
        <v>0.42</v>
      </c>
      <c r="G23">
        <f t="shared" si="8"/>
        <v>1.4860590114532846</v>
      </c>
      <c r="H23">
        <v>8.5000000000000006E-2</v>
      </c>
    </row>
    <row r="24" spans="2:12" x14ac:dyDescent="0.25">
      <c r="B24">
        <v>104.15</v>
      </c>
      <c r="D24">
        <v>4</v>
      </c>
      <c r="E24">
        <v>1</v>
      </c>
      <c r="F24">
        <v>0.28000000000000003</v>
      </c>
      <c r="G24">
        <f t="shared" si="8"/>
        <v>2.2290885171799264</v>
      </c>
      <c r="H24">
        <v>8.6499999999999994E-2</v>
      </c>
    </row>
    <row r="25" spans="2:12" x14ac:dyDescent="0.25">
      <c r="B25" t="s">
        <v>18</v>
      </c>
      <c r="D25">
        <v>5</v>
      </c>
      <c r="E25">
        <v>1</v>
      </c>
      <c r="F25">
        <v>0.15</v>
      </c>
      <c r="G25">
        <f t="shared" si="8"/>
        <v>4.1609652320691968</v>
      </c>
      <c r="H25">
        <v>8.7599999999999997E-2</v>
      </c>
    </row>
    <row r="26" spans="2:12" x14ac:dyDescent="0.25">
      <c r="B26">
        <v>100.121</v>
      </c>
    </row>
    <row r="27" spans="2:12" x14ac:dyDescent="0.25">
      <c r="B27" t="s">
        <v>19</v>
      </c>
    </row>
    <row r="28" spans="2:12" x14ac:dyDescent="0.25">
      <c r="B28">
        <v>164.21</v>
      </c>
    </row>
    <row r="31" spans="2:12" x14ac:dyDescent="0.25">
      <c r="B31" t="s">
        <v>22</v>
      </c>
      <c r="C31" t="s">
        <v>23</v>
      </c>
    </row>
    <row r="32" spans="2:12" x14ac:dyDescent="0.25">
      <c r="B32">
        <f>I13*((K13)^2/(J13)^2)</f>
        <v>7.1668961408850862</v>
      </c>
      <c r="C32">
        <f>L13*(I13-1)</f>
        <v>-0.1393759867875739</v>
      </c>
    </row>
    <row r="33" spans="2:3" x14ac:dyDescent="0.25">
      <c r="B33">
        <f>I14*((K14)^2/(J14)^2)</f>
        <v>3.0698205136791117</v>
      </c>
      <c r="C33">
        <f t="shared" ref="C33:C36" si="9">L14*(I14-1)</f>
        <v>-0.1610020582016527</v>
      </c>
    </row>
    <row r="34" spans="2:3" x14ac:dyDescent="0.25">
      <c r="B34">
        <f>I15*((K15)^2/(J15)^2)</f>
        <v>1.7541831506737788</v>
      </c>
      <c r="C34">
        <f t="shared" si="9"/>
        <v>0.44737278329274338</v>
      </c>
    </row>
    <row r="35" spans="2:3" x14ac:dyDescent="0.25">
      <c r="B35">
        <f>I16*((K16)^2/(J16)^2)</f>
        <v>0.65781868150266665</v>
      </c>
      <c r="C35">
        <f t="shared" si="9"/>
        <v>2.2625267216006839</v>
      </c>
    </row>
    <row r="36" spans="2:3" x14ac:dyDescent="0.25">
      <c r="B36">
        <f>I17*((K17)^2/(J17)^2)</f>
        <v>0.19646851287546321</v>
      </c>
      <c r="C36">
        <f t="shared" si="9"/>
        <v>14.546894311600497</v>
      </c>
    </row>
    <row r="39" spans="2:3" x14ac:dyDescent="0.25">
      <c r="B39" t="s">
        <v>24</v>
      </c>
      <c r="C39" t="s">
        <v>25</v>
      </c>
    </row>
    <row r="40" spans="2:3" x14ac:dyDescent="0.25">
      <c r="B40">
        <f>J13/K13*(1-(1/I13))</f>
        <v>-0.57389934957621735</v>
      </c>
      <c r="C40">
        <f>((J13)^2/(K13)^2)*(1/I13)</f>
        <v>0.13953041600467556</v>
      </c>
    </row>
    <row r="41" spans="2:3" x14ac:dyDescent="0.25">
      <c r="B41">
        <f t="shared" ref="B41:B44" si="10">J14/K14*(1-(1/I14))</f>
        <v>-0.24763801546550426</v>
      </c>
      <c r="C41">
        <f t="shared" ref="C41:C44" si="11">((J14)^2/(K14)^2)*(1/I14)</f>
        <v>0.32575194397978735</v>
      </c>
    </row>
    <row r="42" spans="2:3" x14ac:dyDescent="0.25">
      <c r="B42">
        <f t="shared" si="10"/>
        <v>0.3010464455615644</v>
      </c>
      <c r="C42">
        <f t="shared" si="11"/>
        <v>0.57006590196462759</v>
      </c>
    </row>
    <row r="43" spans="2:3" x14ac:dyDescent="0.25">
      <c r="B43">
        <f t="shared" si="10"/>
        <v>1.0150008418970553</v>
      </c>
      <c r="C43">
        <f t="shared" si="11"/>
        <v>1.5201757385723411</v>
      </c>
    </row>
    <row r="44" spans="2:3" x14ac:dyDescent="0.25">
      <c r="B44">
        <f t="shared" si="10"/>
        <v>3.4960384190392539</v>
      </c>
      <c r="C44">
        <f t="shared" si="11"/>
        <v>5.089874124684175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2026-04-05T16:20:05Z</dcterms:created>
  <dcterms:modified xsi:type="dcterms:W3CDTF">2026-04-06T10:27:48Z</dcterms:modified>
</cp:coreProperties>
</file>