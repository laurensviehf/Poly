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okumente\Uni laptop\Chemie\Poly\Copolymerisation\Messwerte\"/>
    </mc:Choice>
  </mc:AlternateContent>
  <xr:revisionPtr revIDLastSave="0" documentId="13_ncr:1_{1CCEF825-C52D-47D9-AEC2-1C11E57B0EB0}" xr6:coauthVersionLast="47" xr6:coauthVersionMax="47" xr10:uidLastSave="{00000000-0000-0000-0000-000000000000}"/>
  <bookViews>
    <workbookView xWindow="2040" yWindow="1455" windowWidth="19410" windowHeight="13905" xr2:uid="{EC9A12D4-FC17-4DF3-91C2-7490D74CCC1E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0" i="1" l="1"/>
  <c r="C51" i="1"/>
  <c r="C52" i="1"/>
  <c r="C53" i="1"/>
  <c r="C49" i="1"/>
  <c r="B53" i="1"/>
  <c r="B50" i="1"/>
  <c r="B51" i="1"/>
  <c r="B52" i="1"/>
  <c r="B49" i="1"/>
  <c r="B32" i="1"/>
  <c r="F14" i="1"/>
  <c r="F15" i="1"/>
  <c r="F16" i="1"/>
  <c r="F17" i="1"/>
  <c r="F13" i="1"/>
  <c r="E14" i="1"/>
  <c r="E15" i="1"/>
  <c r="E16" i="1"/>
  <c r="J16" i="1" s="1"/>
  <c r="E17" i="1"/>
  <c r="J17" i="1" s="1"/>
  <c r="E13" i="1"/>
  <c r="J14" i="1"/>
  <c r="B42" i="1"/>
  <c r="G21" i="1"/>
  <c r="K13" i="1"/>
  <c r="I13" i="1"/>
  <c r="I17" i="1"/>
  <c r="I16" i="1"/>
  <c r="I15" i="1"/>
  <c r="I14" i="1"/>
  <c r="G22" i="1"/>
  <c r="G23" i="1"/>
  <c r="G24" i="1"/>
  <c r="G25" i="1"/>
  <c r="L15" i="1"/>
  <c r="C34" i="1" s="1"/>
  <c r="K14" i="1"/>
  <c r="K15" i="1"/>
  <c r="K16" i="1"/>
  <c r="K17" i="1"/>
  <c r="J15" i="1"/>
  <c r="C42" i="1" s="1"/>
  <c r="J13" i="1"/>
  <c r="B20" i="1"/>
  <c r="F3" i="1"/>
  <c r="F4" i="1"/>
  <c r="F5" i="1"/>
  <c r="H3" i="1"/>
  <c r="I3" i="1" s="1"/>
  <c r="K3" i="1" s="1"/>
  <c r="L3" i="1" s="1"/>
  <c r="J4" i="1"/>
  <c r="H4" i="1" s="1"/>
  <c r="I4" i="1" s="1"/>
  <c r="K4" i="1" s="1"/>
  <c r="L4" i="1" s="1"/>
  <c r="J5" i="1"/>
  <c r="H5" i="1" s="1"/>
  <c r="I5" i="1" s="1"/>
  <c r="K5" i="1" s="1"/>
  <c r="L5" i="1" s="1"/>
  <c r="J3" i="1"/>
  <c r="C40" i="1" l="1"/>
  <c r="B34" i="1"/>
  <c r="C44" i="1"/>
  <c r="L17" i="1"/>
  <c r="C36" i="1" s="1"/>
  <c r="B44" i="1"/>
  <c r="B36" i="1"/>
  <c r="C43" i="1"/>
  <c r="L16" i="1"/>
  <c r="C35" i="1" s="1"/>
  <c r="B43" i="1"/>
  <c r="B35" i="1"/>
  <c r="L14" i="1"/>
  <c r="C33" i="1" s="1"/>
  <c r="C41" i="1"/>
  <c r="B33" i="1"/>
  <c r="B41" i="1"/>
  <c r="L13" i="1"/>
  <c r="C32" i="1" s="1"/>
  <c r="B40" i="1"/>
</calcChain>
</file>

<file path=xl/sharedStrings.xml><?xml version="1.0" encoding="utf-8"?>
<sst xmlns="http://schemas.openxmlformats.org/spreadsheetml/2006/main" count="33" uniqueCount="28">
  <si>
    <t>Probe</t>
  </si>
  <si>
    <t>[I] in mol/L</t>
  </si>
  <si>
    <t>m_ps in g</t>
  </si>
  <si>
    <t>m_st in g</t>
  </si>
  <si>
    <t>n_st  in mol</t>
  </si>
  <si>
    <t xml:space="preserve">U in % </t>
  </si>
  <si>
    <t>Initiator einwage in mg</t>
  </si>
  <si>
    <t>Delta M</t>
  </si>
  <si>
    <t>n_St Anfang</t>
  </si>
  <si>
    <t>v_Br</t>
  </si>
  <si>
    <t>I_St</t>
  </si>
  <si>
    <t>I_MMA</t>
  </si>
  <si>
    <t>m_St</t>
  </si>
  <si>
    <t>m_MMA</t>
  </si>
  <si>
    <t>m_AIBN</t>
  </si>
  <si>
    <t>n_St</t>
  </si>
  <si>
    <t>n_MMA</t>
  </si>
  <si>
    <t>M_St</t>
  </si>
  <si>
    <t>M_MMA</t>
  </si>
  <si>
    <t>M_AIBN</t>
  </si>
  <si>
    <t>n_St/n_MMA</t>
  </si>
  <si>
    <t>m_St/m_MMA</t>
  </si>
  <si>
    <t>(m_St/m_MMA)*((n_MMA)^2/(n_St)^2</t>
  </si>
  <si>
    <t>n_MMA/n_St *(m_St/m_MMA -1)</t>
  </si>
  <si>
    <t xml:space="preserve">n_St / n_MMA * (1 - 1/(m_St/m_MMA)) </t>
  </si>
  <si>
    <t>n_St^2/n_MMA^2 * 1/(m_St/m_MMA)</t>
  </si>
  <si>
    <t>n_St/(n_St+n_MMA)</t>
  </si>
  <si>
    <t>m_St/(m_St+m_MMA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</si>
</sst>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9289F-E3E9-4E4D-BE1F-9BBD6364599B}">
  <dimension ref="B2:L53"/>
  <sheetViews>
    <sheetView tabSelected="1" topLeftCell="A5" zoomScale="85" zoomScaleNormal="85" workbookViewId="0">
      <selection activeCell="B15" sqref="B15"/>
    </sheetView>
  </sheetViews>
  <sheetFormatPr baseColWidth="10" defaultRowHeight="15" x14ac:dyDescent="0.25"/>
  <cols>
    <col min="1" max="1" width="6.140625" bestFit="1" customWidth="1"/>
    <col min="2" max="2" width="34.140625" bestFit="1" customWidth="1"/>
    <col min="3" max="3" width="33.140625" bestFit="1" customWidth="1"/>
    <col min="4" max="4" width="9.28515625" bestFit="1" customWidth="1"/>
    <col min="5" max="5" width="8.7109375" bestFit="1" customWidth="1"/>
    <col min="6" max="6" width="12" bestFit="1" customWidth="1"/>
    <col min="7" max="7" width="12.7109375" bestFit="1" customWidth="1"/>
    <col min="8" max="8" width="12" bestFit="1" customWidth="1"/>
    <col min="9" max="9" width="12.7109375" bestFit="1" customWidth="1"/>
    <col min="10" max="12" width="12" bestFit="1" customWidth="1"/>
  </cols>
  <sheetData>
    <row r="2" spans="4:12" x14ac:dyDescent="0.25">
      <c r="D2" t="s">
        <v>0</v>
      </c>
      <c r="E2" t="s">
        <v>6</v>
      </c>
      <c r="F2" t="s">
        <v>1</v>
      </c>
      <c r="G2" t="s">
        <v>2</v>
      </c>
      <c r="H2" t="s">
        <v>3</v>
      </c>
      <c r="I2" t="s">
        <v>4</v>
      </c>
      <c r="J2" t="s">
        <v>5</v>
      </c>
      <c r="K2" t="s">
        <v>7</v>
      </c>
      <c r="L2" t="s">
        <v>9</v>
      </c>
    </row>
    <row r="3" spans="4:12" x14ac:dyDescent="0.25">
      <c r="D3">
        <v>1</v>
      </c>
      <c r="E3" s="1">
        <v>2.6</v>
      </c>
      <c r="F3">
        <f t="shared" ref="F3:F4" si="0">((E3*0.001)/164.21)/0.01</f>
        <v>1.5833384081359234E-3</v>
      </c>
      <c r="G3">
        <v>0.32</v>
      </c>
      <c r="H3">
        <f xml:space="preserve"> 9.1*(1-J3)</f>
        <v>8.7799999999999994</v>
      </c>
      <c r="I3">
        <f>H3/104.15</f>
        <v>8.4301488238118089E-2</v>
      </c>
      <c r="J3">
        <f>(G3/9.1)*100%</f>
        <v>3.5164835164835165E-2</v>
      </c>
      <c r="K3">
        <f>($B$20-I3)/0.01</f>
        <v>0.30724915986557882</v>
      </c>
      <c r="L3">
        <f>K3/7200</f>
        <v>4.2673494425774834E-5</v>
      </c>
    </row>
    <row r="4" spans="4:12" x14ac:dyDescent="0.25">
      <c r="D4">
        <v>2</v>
      </c>
      <c r="E4" s="1">
        <v>10.1</v>
      </c>
      <c r="F4">
        <f t="shared" si="0"/>
        <v>6.1506607392972402E-3</v>
      </c>
      <c r="G4">
        <v>0.63</v>
      </c>
      <c r="H4">
        <f t="shared" ref="H4:H5" si="1" xml:space="preserve"> 9.1*(1-J4)</f>
        <v>8.4700000000000006</v>
      </c>
      <c r="I4">
        <f t="shared" ref="I4:I5" si="2">H4/104.15</f>
        <v>8.1325012001920313E-2</v>
      </c>
      <c r="J4">
        <f t="shared" ref="J4:J5" si="3">(G4/9.1)*100%</f>
        <v>6.9230769230769235E-2</v>
      </c>
      <c r="K4">
        <f t="shared" ref="K4:K5" si="4">($B$20-I4)/0.01</f>
        <v>0.60489678348535636</v>
      </c>
      <c r="L4">
        <f t="shared" ref="L4:L5" si="5">K4/7200</f>
        <v>8.4013442150743939E-5</v>
      </c>
    </row>
    <row r="5" spans="4:12" x14ac:dyDescent="0.25">
      <c r="D5">
        <v>3</v>
      </c>
      <c r="E5" s="1">
        <v>24.6</v>
      </c>
      <c r="F5">
        <f>((E5*0.001)/164.21)/0.01</f>
        <v>1.4980817246209121E-2</v>
      </c>
      <c r="G5">
        <v>0.93</v>
      </c>
      <c r="H5">
        <f t="shared" si="1"/>
        <v>8.17</v>
      </c>
      <c r="I5">
        <f t="shared" si="2"/>
        <v>7.8444551128180509E-2</v>
      </c>
      <c r="J5">
        <f t="shared" si="3"/>
        <v>0.10219780219780221</v>
      </c>
      <c r="K5">
        <f t="shared" si="4"/>
        <v>0.89294287085933677</v>
      </c>
      <c r="L5">
        <f t="shared" si="5"/>
        <v>1.2401984317490788E-4</v>
      </c>
    </row>
    <row r="12" spans="4:12" x14ac:dyDescent="0.25">
      <c r="D12" t="s">
        <v>0</v>
      </c>
      <c r="E12" t="s">
        <v>12</v>
      </c>
      <c r="F12" t="s">
        <v>13</v>
      </c>
      <c r="G12" t="s">
        <v>10</v>
      </c>
      <c r="H12" t="s">
        <v>11</v>
      </c>
      <c r="I12" t="s">
        <v>21</v>
      </c>
      <c r="J12" t="s">
        <v>15</v>
      </c>
      <c r="K12" t="s">
        <v>16</v>
      </c>
      <c r="L12" t="s">
        <v>20</v>
      </c>
    </row>
    <row r="13" spans="4:12" x14ac:dyDescent="0.25">
      <c r="D13">
        <v>1</v>
      </c>
      <c r="E13">
        <f>G13*$B$24/5</f>
        <v>20.830000000000002</v>
      </c>
      <c r="F13">
        <f>H13*$B$26/3</f>
        <v>85.770323333333337</v>
      </c>
      <c r="G13">
        <v>1</v>
      </c>
      <c r="H13">
        <v>2.57</v>
      </c>
      <c r="I13">
        <f>(G13/H13)*($B$24/$B$26)*(3/5)</f>
        <v>0.24285789292232665</v>
      </c>
      <c r="J13">
        <f>E13/$B$24</f>
        <v>0.2</v>
      </c>
      <c r="K13">
        <f>F13/$B$26</f>
        <v>0.8566666666666668</v>
      </c>
      <c r="L13">
        <f>J13/K13</f>
        <v>0.23346303501945523</v>
      </c>
    </row>
    <row r="14" spans="4:12" x14ac:dyDescent="0.25">
      <c r="D14">
        <v>2</v>
      </c>
      <c r="E14">
        <f t="shared" ref="E14:E17" si="6">G14*$B$24/5</f>
        <v>20.830000000000002</v>
      </c>
      <c r="F14">
        <f t="shared" ref="F14:F17" si="7">H14*$B$26/3</f>
        <v>32.038719999999998</v>
      </c>
      <c r="G14">
        <v>1</v>
      </c>
      <c r="H14">
        <v>0.96</v>
      </c>
      <c r="I14">
        <f t="shared" ref="I14:I17" si="8">(G14/H14)*($B$24/$B$26)*(3/5)</f>
        <v>0.65015081751081194</v>
      </c>
      <c r="J14">
        <f>E14/$B$24</f>
        <v>0.2</v>
      </c>
      <c r="K14">
        <f>F14/$B$26</f>
        <v>0.32</v>
      </c>
      <c r="L14">
        <f t="shared" ref="L14:L17" si="9">J14/K14</f>
        <v>0.625</v>
      </c>
    </row>
    <row r="15" spans="4:12" x14ac:dyDescent="0.25">
      <c r="D15">
        <v>3</v>
      </c>
      <c r="E15">
        <f t="shared" si="6"/>
        <v>20.830000000000002</v>
      </c>
      <c r="F15">
        <f t="shared" si="7"/>
        <v>14.016939999999998</v>
      </c>
      <c r="G15">
        <v>1</v>
      </c>
      <c r="H15">
        <v>0.42</v>
      </c>
      <c r="I15">
        <f t="shared" si="8"/>
        <v>1.4860590114532846</v>
      </c>
      <c r="J15">
        <f>E15/$B$24</f>
        <v>0.2</v>
      </c>
      <c r="K15">
        <f>F15/$B$26</f>
        <v>0.13999999999999999</v>
      </c>
      <c r="L15">
        <f t="shared" si="9"/>
        <v>1.4285714285714288</v>
      </c>
    </row>
    <row r="16" spans="4:12" x14ac:dyDescent="0.25">
      <c r="D16">
        <v>4</v>
      </c>
      <c r="E16">
        <f t="shared" si="6"/>
        <v>20.830000000000002</v>
      </c>
      <c r="F16">
        <f t="shared" si="7"/>
        <v>9.3446266666666666</v>
      </c>
      <c r="G16">
        <v>1</v>
      </c>
      <c r="H16">
        <v>0.28000000000000003</v>
      </c>
      <c r="I16">
        <f t="shared" si="8"/>
        <v>2.2290885171799264</v>
      </c>
      <c r="J16">
        <f>E16/$B$24</f>
        <v>0.2</v>
      </c>
      <c r="K16">
        <f>F16/$B$26</f>
        <v>9.3333333333333338E-2</v>
      </c>
      <c r="L16">
        <f t="shared" si="9"/>
        <v>2.1428571428571428</v>
      </c>
    </row>
    <row r="17" spans="2:12" x14ac:dyDescent="0.25">
      <c r="D17">
        <v>5</v>
      </c>
      <c r="E17">
        <f t="shared" si="6"/>
        <v>20.830000000000002</v>
      </c>
      <c r="F17">
        <f t="shared" si="7"/>
        <v>5.0060499999999992</v>
      </c>
      <c r="G17">
        <v>1</v>
      </c>
      <c r="H17">
        <v>0.15</v>
      </c>
      <c r="I17">
        <f t="shared" si="8"/>
        <v>4.1609652320691968</v>
      </c>
      <c r="J17">
        <f>E17/$B$24</f>
        <v>0.2</v>
      </c>
      <c r="K17">
        <f>F17/$B$26</f>
        <v>4.9999999999999996E-2</v>
      </c>
      <c r="L17">
        <f t="shared" si="9"/>
        <v>4.0000000000000009</v>
      </c>
    </row>
    <row r="19" spans="2:12" x14ac:dyDescent="0.25">
      <c r="B19" t="s">
        <v>8</v>
      </c>
    </row>
    <row r="20" spans="2:12" x14ac:dyDescent="0.25">
      <c r="B20">
        <f>9.1/104.15</f>
        <v>8.7373979836773877E-2</v>
      </c>
      <c r="D20" t="s">
        <v>0</v>
      </c>
      <c r="E20" t="s">
        <v>10</v>
      </c>
      <c r="F20" t="s">
        <v>11</v>
      </c>
      <c r="G20" t="s">
        <v>21</v>
      </c>
      <c r="H20" t="s">
        <v>14</v>
      </c>
    </row>
    <row r="21" spans="2:12" x14ac:dyDescent="0.25">
      <c r="D21">
        <v>1</v>
      </c>
      <c r="E21">
        <v>1</v>
      </c>
      <c r="F21">
        <v>2.57</v>
      </c>
      <c r="G21">
        <f>(E21/F21)*($B$24/$B$26)*(3/5)</f>
        <v>0.24285789292232665</v>
      </c>
      <c r="H21">
        <v>8.7499999999999994E-2</v>
      </c>
    </row>
    <row r="22" spans="2:12" x14ac:dyDescent="0.25">
      <c r="D22">
        <v>2</v>
      </c>
      <c r="E22">
        <v>1</v>
      </c>
      <c r="F22">
        <v>0.96</v>
      </c>
      <c r="G22">
        <f t="shared" ref="G22:G25" si="10">(E22/F22)*($B$24/$B$26)*(3/5)</f>
        <v>0.65015081751081194</v>
      </c>
      <c r="H22">
        <v>8.77E-2</v>
      </c>
    </row>
    <row r="23" spans="2:12" x14ac:dyDescent="0.25">
      <c r="B23" t="s">
        <v>17</v>
      </c>
      <c r="D23">
        <v>3</v>
      </c>
      <c r="E23">
        <v>1</v>
      </c>
      <c r="F23">
        <v>0.42</v>
      </c>
      <c r="G23">
        <f t="shared" si="10"/>
        <v>1.4860590114532846</v>
      </c>
      <c r="H23">
        <v>8.5000000000000006E-2</v>
      </c>
    </row>
    <row r="24" spans="2:12" x14ac:dyDescent="0.25">
      <c r="B24">
        <v>104.15</v>
      </c>
      <c r="D24">
        <v>4</v>
      </c>
      <c r="E24">
        <v>1</v>
      </c>
      <c r="F24">
        <v>0.28000000000000003</v>
      </c>
      <c r="G24">
        <f t="shared" si="10"/>
        <v>2.2290885171799264</v>
      </c>
      <c r="H24">
        <v>8.6499999999999994E-2</v>
      </c>
    </row>
    <row r="25" spans="2:12" x14ac:dyDescent="0.25">
      <c r="B25" t="s">
        <v>18</v>
      </c>
      <c r="D25">
        <v>5</v>
      </c>
      <c r="E25">
        <v>1</v>
      </c>
      <c r="F25">
        <v>0.15</v>
      </c>
      <c r="G25">
        <f t="shared" si="10"/>
        <v>4.1609652320691968</v>
      </c>
      <c r="H25">
        <v>8.7599999999999997E-2</v>
      </c>
    </row>
    <row r="26" spans="2:12" x14ac:dyDescent="0.25">
      <c r="B26">
        <v>100.121</v>
      </c>
    </row>
    <row r="27" spans="2:12" x14ac:dyDescent="0.25">
      <c r="B27" t="s">
        <v>19</v>
      </c>
    </row>
    <row r="28" spans="2:12" x14ac:dyDescent="0.25">
      <c r="B28">
        <v>164.21</v>
      </c>
    </row>
    <row r="31" spans="2:12" x14ac:dyDescent="0.25">
      <c r="B31" t="s">
        <v>22</v>
      </c>
      <c r="C31" t="s">
        <v>23</v>
      </c>
    </row>
    <row r="32" spans="2:12" x14ac:dyDescent="0.25">
      <c r="B32">
        <f>I13*((K13)^2/(J13)^2)</f>
        <v>4.455700269340765</v>
      </c>
      <c r="C32">
        <f>L13*(I13-1)</f>
        <v>-0.17676469425937899</v>
      </c>
    </row>
    <row r="33" spans="2:3" x14ac:dyDescent="0.25">
      <c r="B33">
        <f>I14*((K14)^2/(J14)^2)</f>
        <v>1.6643860928276784</v>
      </c>
      <c r="C33">
        <f t="shared" ref="C33:C36" si="11">L14*(I14-1)</f>
        <v>-0.21865573905574254</v>
      </c>
    </row>
    <row r="34" spans="2:3" x14ac:dyDescent="0.25">
      <c r="B34">
        <f>I15*((K15)^2/(J15)^2)</f>
        <v>0.72816891561210917</v>
      </c>
      <c r="C34">
        <f t="shared" si="11"/>
        <v>0.69437001636183526</v>
      </c>
    </row>
    <row r="35" spans="2:3" x14ac:dyDescent="0.25">
      <c r="B35">
        <f>I16*((K16)^2/(J16)^2)</f>
        <v>0.48544594374140615</v>
      </c>
      <c r="C35">
        <f t="shared" si="11"/>
        <v>2.6337611082426995</v>
      </c>
    </row>
    <row r="36" spans="2:3" x14ac:dyDescent="0.25">
      <c r="B36">
        <f>I17*((K17)^2/(J17)^2)</f>
        <v>0.26006032700432469</v>
      </c>
      <c r="C36">
        <f t="shared" si="11"/>
        <v>12.643860928276791</v>
      </c>
    </row>
    <row r="39" spans="2:3" x14ac:dyDescent="0.25">
      <c r="B39" t="s">
        <v>24</v>
      </c>
      <c r="C39" t="s">
        <v>25</v>
      </c>
    </row>
    <row r="40" spans="2:3" x14ac:dyDescent="0.25">
      <c r="B40">
        <f>J13/K13*(1-(1/I13))</f>
        <v>-0.72785237544621906</v>
      </c>
      <c r="C40">
        <f>((J13)^2/(K13)^2)*(1/I13)</f>
        <v>0.22443161333828973</v>
      </c>
    </row>
    <row r="41" spans="2:3" x14ac:dyDescent="0.25">
      <c r="B41">
        <f t="shared" ref="B41:B44" si="12">J14/K14*(1-(1/I14))</f>
        <v>-0.33631541046567448</v>
      </c>
      <c r="C41">
        <f t="shared" ref="C41:C44" si="13">((J14)^2/(K14)^2)*(1/I14)</f>
        <v>0.60082213154104658</v>
      </c>
    </row>
    <row r="42" spans="2:3" x14ac:dyDescent="0.25">
      <c r="B42">
        <f t="shared" si="12"/>
        <v>0.46725601810575429</v>
      </c>
      <c r="C42">
        <f t="shared" si="13"/>
        <v>1.3733077292366782</v>
      </c>
    </row>
    <row r="43" spans="2:3" x14ac:dyDescent="0.25">
      <c r="B43">
        <f t="shared" si="12"/>
        <v>1.1815417323914683</v>
      </c>
      <c r="C43">
        <f t="shared" si="13"/>
        <v>2.0599615938550171</v>
      </c>
    </row>
    <row r="44" spans="2:3" x14ac:dyDescent="0.25">
      <c r="B44">
        <f t="shared" si="12"/>
        <v>3.0386845895343266</v>
      </c>
      <c r="C44">
        <f t="shared" si="13"/>
        <v>3.8452616418626993</v>
      </c>
    </row>
    <row r="48" spans="2:3" x14ac:dyDescent="0.25">
      <c r="B48" t="s">
        <v>26</v>
      </c>
      <c r="C48" t="s">
        <v>27</v>
      </c>
    </row>
    <row r="49" spans="2:3" x14ac:dyDescent="0.25">
      <c r="B49">
        <f>J13/(J13+K13)</f>
        <v>0.18927444794952678</v>
      </c>
      <c r="C49">
        <f>E13/(E13+F13)</f>
        <v>0.19540278442557571</v>
      </c>
    </row>
    <row r="50" spans="2:3" x14ac:dyDescent="0.25">
      <c r="B50">
        <f t="shared" ref="B50:B53" si="14">J14/(J14+K14)</f>
        <v>0.38461538461538464</v>
      </c>
      <c r="C50">
        <f t="shared" ref="C50:C53" si="15">E14/(E14+F14)</f>
        <v>0.3939947855745326</v>
      </c>
    </row>
    <row r="51" spans="2:3" x14ac:dyDescent="0.25">
      <c r="B51">
        <f t="shared" si="14"/>
        <v>0.58823529411764719</v>
      </c>
      <c r="C51">
        <f t="shared" si="15"/>
        <v>0.59775693360736981</v>
      </c>
    </row>
    <row r="52" spans="2:3" x14ac:dyDescent="0.25">
      <c r="B52">
        <f t="shared" si="14"/>
        <v>0.68181818181818188</v>
      </c>
      <c r="C52">
        <f t="shared" si="15"/>
        <v>0.69031508591987001</v>
      </c>
    </row>
    <row r="53" spans="2:3" x14ac:dyDescent="0.25">
      <c r="B53">
        <f>J17/(J17+K17)</f>
        <v>0.8</v>
      </c>
      <c r="C53">
        <f t="shared" si="15"/>
        <v>0.80623779563826525</v>
      </c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Laurens Viehoff</dc:creator>
  <cp:lastModifiedBy>Laurens Viehoff</cp:lastModifiedBy>
  <dcterms:created xsi:type="dcterms:W3CDTF">2026-04-05T16:20:05Z</dcterms:created>
  <dcterms:modified xsi:type="dcterms:W3CDTF">2026-04-07T20:22:16Z</dcterms:modified>
</cp:coreProperties>
</file>